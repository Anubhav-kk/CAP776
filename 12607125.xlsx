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uka\Downloads\CAP776\"/>
    </mc:Choice>
  </mc:AlternateContent>
  <xr:revisionPtr revIDLastSave="0" documentId="13_ncr:1_{0A52257A-F4AA-413E-974C-B6682125290B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2" l="1"/>
  <c r="J17" i="2"/>
  <c r="I18" i="2"/>
  <c r="J18" i="2" s="1"/>
  <c r="I19" i="2"/>
  <c r="J19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<sst xmlns="http://schemas.openxmlformats.org/spreadsheetml/2006/main" count="373" uniqueCount="133">
  <si>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</si>
  <si>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</si>
  <si>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</si>
  <si>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</si>
  <si>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</si>
  <si>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</si>
  <si>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</si>
  <si>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</si>
  <si>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</si>
  <si>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</si>
  <si>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</si>
  <si>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</si>
  <si>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</si>
  <si>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</si>
  <si>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</si>
  <si>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</si>
  <si>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</si>
  <si>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</si>
  <si>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</si>
  <si>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</si>
  <si>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</si>
  <si>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</si>
  <si>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</si>
  <si>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</si>
  <si>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</si>
  <si>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</si>
  <si>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</si>
  <si>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</si>
  <si>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</si>
  <si>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</si>
  <si>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</si>
  <si>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</si>
  <si>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</si>
  <si>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</si>
  <si>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</si>
  <si>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</si>
  <si>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</si>
  <si>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</si>
  <si>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</si>
  <si>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</si>
  <si>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</si>
  <si>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</si>
  <si>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</si>
  <si>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</si>
  <si>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</si>
  <si>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</si>
  <si>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</si>
  <si>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</si>
  <si>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</si>
  <si>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</si>
  <si>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</si>
  <si>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</si>
  <si>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</si>
  <si>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D1P2636</t>
  </si>
  <si>
    <t>August</t>
  </si>
  <si>
    <t>Felt a bit tired after evening class.</t>
  </si>
  <si>
    <t>Anubhav Kashyap</t>
  </si>
  <si>
    <t>Attended freshmen induction</t>
  </si>
  <si>
    <t>Neutral</t>
  </si>
  <si>
    <t>Regular day with classes and study, felt neutral overall.</t>
  </si>
  <si>
    <t>Attended classes and stayed productive, felt good overal</t>
  </si>
  <si>
    <t>High</t>
  </si>
  <si>
    <t>Low</t>
  </si>
  <si>
    <t>Unsatisfied</t>
  </si>
  <si>
    <t>Attended classes and studied regularly, but felt neutral overall.</t>
  </si>
  <si>
    <t>Attended the Independence Day event at the university and enjoyed the day.</t>
  </si>
  <si>
    <t>Had a fever and took rest for most of the day.</t>
  </si>
  <si>
    <t>Attended classes and studied well, but felt neutral overall.</t>
  </si>
  <si>
    <t>Had a busy day with classes and study, felt neutral but satisfied.</t>
  </si>
  <si>
    <t>Attended classes and studied, but felt neutral with low energy.</t>
  </si>
  <si>
    <t>Had a productive day with classes and study, felt good and satisfied.</t>
  </si>
  <si>
    <t>Had a regular day with classes and study, felt neutral overall.</t>
  </si>
  <si>
    <t>Focused on study and other activities, felt good and satisfied.</t>
  </si>
  <si>
    <t>Had a productive day with good study time and activities, felt good overall.</t>
  </si>
  <si>
    <t>Attended classes and studied, felt neutral but satisfied.</t>
  </si>
  <si>
    <t>Had a busy day with classes and study, felt neutral overall.</t>
  </si>
  <si>
    <t>Had a tiring day with lower energy and felt unsatisfied.</t>
  </si>
  <si>
    <t>Excellent</t>
  </si>
  <si>
    <t>Attended classes and worked on coding and other activities, felt neutral overall.</t>
  </si>
  <si>
    <t>Attended classes and spent time studying and on other activities, felt good overall.</t>
  </si>
  <si>
    <t>Spent the day at a friend’s house and enjoyed some time together.</t>
  </si>
  <si>
    <t>Continued spending time at my friend’s house and had a relaxing day.</t>
  </si>
  <si>
    <t>Returned home and settled back into my routine.</t>
  </si>
  <si>
    <t>Attended classes and studied, had a normal day and felt neutral overall.</t>
  </si>
  <si>
    <t>Attended classes and stayed productive, felt good but neutral about the day.</t>
  </si>
  <si>
    <t>Attended classes and studied well, felt good and satisfied.</t>
  </si>
  <si>
    <t>Had a productive day with study and other activities, felt good and satisfied.</t>
  </si>
  <si>
    <t>Spent time studying and on other activities, felt good overall.</t>
  </si>
  <si>
    <t>Attended classes and stayed productive, felt good and satisfied.</t>
  </si>
  <si>
    <t>Attended classes and studied, but felt neutral overall.</t>
  </si>
  <si>
    <t>Attended the fresher party at the university and had a great time.</t>
  </si>
  <si>
    <t>Visited a friend’s house and spent the day relaxing.</t>
  </si>
  <si>
    <t>Continued spending time at a friend’s house and enjoyed the day.</t>
  </si>
  <si>
    <t>Spent the day at a friend’s house before returning to my routine.</t>
  </si>
  <si>
    <t>Had a tiring day with low energy and felt unsatisfied.</t>
  </si>
  <si>
    <t>Had a regular day with some study and activities, but felt unsatisfied.</t>
  </si>
  <si>
    <t>Attended classes and studied, felt good and satisfied.</t>
  </si>
  <si>
    <t>Had a relaxed day with some study and activities, felt good and satisfied.</t>
  </si>
  <si>
    <t>Spent a quiet day with some study and activities, but felt neutral and unsatisfied.</t>
  </si>
  <si>
    <t>Attended classes and worked on coding and study, felt good and satisfied.</t>
  </si>
  <si>
    <t>Went to Chandigarh and spent the day there, felt good and satisfied.</t>
  </si>
  <si>
    <t>Attended classes and studied, felt neutral overall.</t>
  </si>
  <si>
    <t>There was protest at our university today</t>
  </si>
  <si>
    <t>The protest escalated very much so our university is suspended for 10 days</t>
  </si>
  <si>
    <t>Very Satisfied</t>
  </si>
  <si>
    <t>tayed at a friend’s house as the protests escalated significantly.</t>
  </si>
  <si>
    <t>Explored nearby areas with friends, tried different foods, and played games on TV.</t>
  </si>
  <si>
    <t>Spent time with friends exploring nearby places, enjoying food, and playing games.</t>
  </si>
  <si>
    <t>Continued enjoying time with friends, exploring local areas and trying different foods.</t>
  </si>
  <si>
    <t>Went to a vet to check  my friends dog</t>
  </si>
  <si>
    <t>Explored nearby areas and enjoyed spending time with friends.</t>
  </si>
  <si>
    <t>Attended the mandatory online classes and completed the required academic work.</t>
  </si>
  <si>
    <t>Attended mandatory online classes and stayed focused on academics.</t>
  </si>
  <si>
    <t>Attended the mandatory online classes and continued studying.</t>
  </si>
  <si>
    <t>Attended todays doubt clearing session to clear some doubts</t>
  </si>
  <si>
    <t>Completed my minor project and finalized the work.</t>
  </si>
  <si>
    <t>Submitted my minor project and returned to my room near the college.</t>
  </si>
  <si>
    <t>Studied and prepared for the upcoming exams.</t>
  </si>
  <si>
    <t>Appeared for my Computer Networks midterm exam.</t>
  </si>
  <si>
    <t>Appeared for my C++ midterm exam</t>
  </si>
  <si>
    <t>Appeared for my DBMS midterm exam</t>
  </si>
  <si>
    <t>Prepared for my analytical exam</t>
  </si>
  <si>
    <t>Analytical exam went better than expected</t>
  </si>
  <si>
    <t>English communication exam went well today</t>
  </si>
  <si>
    <t>Took a break for the whole day</t>
  </si>
  <si>
    <t>Continued with my regular classes</t>
  </si>
  <si>
    <t>Had a day off for Maha Navami</t>
  </si>
  <si>
    <t>Attended my regular classes</t>
  </si>
  <si>
    <t>Had our DBMS viva today for CA2</t>
  </si>
  <si>
    <t>Spent time studyng my CPP project topic</t>
  </si>
  <si>
    <t>Worked on my cpp project today</t>
  </si>
  <si>
    <t>Completed my cpp project as today was my last date for submission</t>
  </si>
  <si>
    <t>Had a normal day attending my regular claases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</si>
</sst>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i/>
      <sz val="11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78" activePane="bottomRight" state="frozen"/>
      <selection pane="topRight" activeCell="B1" sqref="B1"/>
      <selection pane="bottomLeft" activeCell="A6" sqref="A6"/>
      <selection pane="bottomRight" activeCell="N85" sqref="N85"/>
    </sheetView>
  </sheetViews>
  <sheetFormatPr defaultColWidth="8.5703125" defaultRowHeight="15" x14ac:dyDescent="0.25"/>
  <cols>
    <col min="1" max="1" width="16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56</v>
      </c>
      <c r="C2" s="20"/>
      <c r="D2" s="20"/>
      <c r="E2" s="6" t="s">
        <v>31</v>
      </c>
      <c r="F2" s="20">
        <v>12607125</v>
      </c>
      <c r="G2" s="20"/>
    </row>
    <row r="3" spans="1:14" ht="19.5" customHeight="1" x14ac:dyDescent="0.25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5" x14ac:dyDescent="0.25">
      <c r="A6" s="8">
        <v>46244</v>
      </c>
      <c r="B6" s="9">
        <v>420</v>
      </c>
      <c r="C6" s="9">
        <v>30</v>
      </c>
      <c r="D6" s="9">
        <v>107</v>
      </c>
      <c r="E6" s="9">
        <v>40</v>
      </c>
      <c r="F6" s="9">
        <v>250</v>
      </c>
      <c r="G6" s="9">
        <v>5</v>
      </c>
      <c r="H6" s="9">
        <v>118</v>
      </c>
      <c r="I6" s="10">
        <f t="shared" ref="I6:I69" si="0">IF(SUM(B6:F6,H6)=0,"",SUM(B6:F6,H6))</f>
        <v>965</v>
      </c>
      <c r="J6" s="10">
        <f t="shared" ref="J6:J69" si="1">IF(I6="","",1440-I6)</f>
        <v>475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4" ht="49.5" customHeight="1" x14ac:dyDescent="0.25">
      <c r="A7" s="13">
        <v>46245</v>
      </c>
      <c r="B7" s="14">
        <v>380</v>
      </c>
      <c r="C7" s="14">
        <v>25</v>
      </c>
      <c r="D7" s="14">
        <v>90</v>
      </c>
      <c r="E7" s="14">
        <v>34</v>
      </c>
      <c r="F7" s="14">
        <v>350</v>
      </c>
      <c r="G7" s="14">
        <v>7</v>
      </c>
      <c r="H7" s="14">
        <v>107</v>
      </c>
      <c r="I7" s="15">
        <f t="shared" si="0"/>
        <v>986</v>
      </c>
      <c r="J7" s="15">
        <f t="shared" si="1"/>
        <v>454</v>
      </c>
      <c r="K7" s="16" t="s">
        <v>58</v>
      </c>
      <c r="L7" s="16" t="s">
        <v>58</v>
      </c>
      <c r="M7" s="16" t="s">
        <v>51</v>
      </c>
      <c r="N7" s="17" t="s">
        <v>59</v>
      </c>
    </row>
    <row r="8" spans="1:14" ht="19.5" customHeight="1" x14ac:dyDescent="0.25">
      <c r="A8" s="13">
        <v>46246</v>
      </c>
      <c r="B8" s="14">
        <v>410</v>
      </c>
      <c r="C8" s="14">
        <v>32</v>
      </c>
      <c r="D8" s="14">
        <v>101</v>
      </c>
      <c r="E8" s="14">
        <v>44</v>
      </c>
      <c r="F8" s="14">
        <v>0</v>
      </c>
      <c r="G8" s="14">
        <v>0</v>
      </c>
      <c r="H8" s="14">
        <v>400</v>
      </c>
      <c r="I8" s="15">
        <f t="shared" si="0"/>
        <v>987</v>
      </c>
      <c r="J8" s="15">
        <f t="shared" si="1"/>
        <v>453</v>
      </c>
      <c r="K8" s="16" t="s">
        <v>49</v>
      </c>
      <c r="L8" s="16" t="s">
        <v>50</v>
      </c>
      <c r="M8" s="16" t="s">
        <v>51</v>
      </c>
      <c r="N8" s="17" t="s">
        <v>57</v>
      </c>
    </row>
    <row r="9" spans="1:14" ht="42.75" customHeight="1" x14ac:dyDescent="0.25">
      <c r="A9" s="13">
        <v>46247</v>
      </c>
      <c r="B9" s="14">
        <v>360</v>
      </c>
      <c r="C9" s="14">
        <v>31</v>
      </c>
      <c r="D9" s="14">
        <v>110</v>
      </c>
      <c r="E9" s="14">
        <v>40</v>
      </c>
      <c r="F9" s="14">
        <v>150</v>
      </c>
      <c r="G9" s="14">
        <v>3</v>
      </c>
      <c r="H9" s="14">
        <v>78</v>
      </c>
      <c r="I9" s="15">
        <f t="shared" si="0"/>
        <v>769</v>
      </c>
      <c r="J9" s="15">
        <f t="shared" si="1"/>
        <v>671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64.5" customHeight="1" x14ac:dyDescent="0.25">
      <c r="A10" s="13">
        <v>46248</v>
      </c>
      <c r="B10" s="14">
        <v>400</v>
      </c>
      <c r="C10" s="14">
        <v>26</v>
      </c>
      <c r="D10" s="14">
        <v>105</v>
      </c>
      <c r="E10" s="14">
        <v>35</v>
      </c>
      <c r="F10" s="14">
        <v>250</v>
      </c>
      <c r="G10" s="14">
        <v>5</v>
      </c>
      <c r="H10" s="14">
        <v>108</v>
      </c>
      <c r="I10" s="15">
        <f t="shared" si="0"/>
        <v>924</v>
      </c>
      <c r="J10" s="15">
        <f t="shared" si="1"/>
        <v>516</v>
      </c>
      <c r="K10" s="16" t="s">
        <v>58</v>
      </c>
      <c r="L10" s="16" t="s">
        <v>58</v>
      </c>
      <c r="M10" s="16" t="s">
        <v>51</v>
      </c>
      <c r="N10" s="17" t="s">
        <v>64</v>
      </c>
    </row>
    <row r="11" spans="1:14" ht="48.75" customHeight="1" x14ac:dyDescent="0.25">
      <c r="A11" s="13">
        <v>46249</v>
      </c>
      <c r="B11" s="14">
        <v>402</v>
      </c>
      <c r="C11" s="14">
        <v>0</v>
      </c>
      <c r="D11" s="14">
        <v>80</v>
      </c>
      <c r="E11" s="14">
        <v>21</v>
      </c>
      <c r="F11" s="14">
        <v>0</v>
      </c>
      <c r="G11" s="14">
        <v>0</v>
      </c>
      <c r="H11" s="14">
        <v>300</v>
      </c>
      <c r="I11" s="15">
        <f t="shared" si="0"/>
        <v>803</v>
      </c>
      <c r="J11" s="15">
        <f t="shared" si="1"/>
        <v>637</v>
      </c>
      <c r="K11" s="16" t="s">
        <v>49</v>
      </c>
      <c r="L11" s="16" t="s">
        <v>50</v>
      </c>
      <c r="M11" s="16" t="s">
        <v>61</v>
      </c>
      <c r="N11" s="17" t="s">
        <v>65</v>
      </c>
    </row>
    <row r="12" spans="1:14" ht="32.25" customHeight="1" x14ac:dyDescent="0.25">
      <c r="A12" s="13">
        <v>46250</v>
      </c>
      <c r="B12" s="14">
        <v>401</v>
      </c>
      <c r="C12" s="14">
        <v>0</v>
      </c>
      <c r="D12" s="14">
        <v>50</v>
      </c>
      <c r="E12" s="14">
        <v>0</v>
      </c>
      <c r="F12" s="14">
        <v>0</v>
      </c>
      <c r="G12" s="14">
        <v>0</v>
      </c>
      <c r="H12" s="14">
        <v>0</v>
      </c>
      <c r="I12" s="15">
        <f t="shared" si="0"/>
        <v>451</v>
      </c>
      <c r="J12" s="15">
        <f t="shared" si="1"/>
        <v>989</v>
      </c>
      <c r="K12" s="16" t="s">
        <v>62</v>
      </c>
      <c r="L12" s="16" t="s">
        <v>63</v>
      </c>
      <c r="M12" s="16" t="s">
        <v>62</v>
      </c>
      <c r="N12" s="17" t="s">
        <v>66</v>
      </c>
    </row>
    <row r="13" spans="1:14" ht="60" customHeight="1" x14ac:dyDescent="0.25">
      <c r="A13" s="13">
        <v>46251</v>
      </c>
      <c r="B13" s="14">
        <v>410</v>
      </c>
      <c r="C13" s="14">
        <v>32</v>
      </c>
      <c r="D13" s="14">
        <v>112</v>
      </c>
      <c r="E13" s="14">
        <v>34</v>
      </c>
      <c r="F13" s="14">
        <v>250</v>
      </c>
      <c r="G13" s="14">
        <v>5</v>
      </c>
      <c r="H13" s="14">
        <v>70</v>
      </c>
      <c r="I13" s="15">
        <f t="shared" si="0"/>
        <v>908</v>
      </c>
      <c r="J13" s="15">
        <f t="shared" si="1"/>
        <v>532</v>
      </c>
      <c r="K13" s="16" t="s">
        <v>58</v>
      </c>
      <c r="L13" s="16" t="s">
        <v>58</v>
      </c>
      <c r="M13" s="16" t="s">
        <v>51</v>
      </c>
      <c r="N13" s="17" t="s">
        <v>67</v>
      </c>
    </row>
    <row r="14" spans="1:14" ht="50.25" customHeight="1" x14ac:dyDescent="0.25">
      <c r="A14" s="13">
        <v>46252</v>
      </c>
      <c r="B14" s="14">
        <v>412</v>
      </c>
      <c r="C14" s="14">
        <v>28</v>
      </c>
      <c r="D14" s="14">
        <v>108</v>
      </c>
      <c r="E14" s="14">
        <v>33</v>
      </c>
      <c r="F14" s="14">
        <v>350</v>
      </c>
      <c r="G14" s="14">
        <v>7</v>
      </c>
      <c r="H14" s="14">
        <v>63</v>
      </c>
      <c r="I14" s="15">
        <f t="shared" si="0"/>
        <v>994</v>
      </c>
      <c r="J14" s="15">
        <f t="shared" si="1"/>
        <v>446</v>
      </c>
      <c r="K14" s="16" t="s">
        <v>58</v>
      </c>
      <c r="L14" s="16" t="s">
        <v>50</v>
      </c>
      <c r="M14" s="16" t="s">
        <v>61</v>
      </c>
      <c r="N14" s="17" t="s">
        <v>68</v>
      </c>
    </row>
    <row r="15" spans="1:14" ht="42.75" x14ac:dyDescent="0.25">
      <c r="A15" s="13">
        <v>46253</v>
      </c>
      <c r="B15" s="14">
        <v>402</v>
      </c>
      <c r="C15" s="14">
        <v>25</v>
      </c>
      <c r="D15" s="14">
        <v>87</v>
      </c>
      <c r="E15" s="14">
        <v>23</v>
      </c>
      <c r="F15" s="14">
        <v>350</v>
      </c>
      <c r="G15" s="14">
        <v>7</v>
      </c>
      <c r="H15" s="14">
        <v>73</v>
      </c>
      <c r="I15" s="15">
        <f t="shared" si="0"/>
        <v>960</v>
      </c>
      <c r="J15" s="15">
        <f t="shared" si="1"/>
        <v>480</v>
      </c>
      <c r="K15" s="16" t="s">
        <v>58</v>
      </c>
      <c r="L15" s="16" t="s">
        <v>58</v>
      </c>
      <c r="M15" s="16" t="s">
        <v>62</v>
      </c>
      <c r="N15" s="17" t="s">
        <v>69</v>
      </c>
    </row>
    <row r="16" spans="1:14" ht="44.25" customHeight="1" x14ac:dyDescent="0.25">
      <c r="A16" s="13">
        <v>46254</v>
      </c>
      <c r="B16" s="14">
        <v>386</v>
      </c>
      <c r="C16" s="14">
        <v>20</v>
      </c>
      <c r="D16" s="14">
        <v>121</v>
      </c>
      <c r="E16" s="14">
        <v>35</v>
      </c>
      <c r="F16" s="14">
        <v>200</v>
      </c>
      <c r="G16" s="14">
        <v>4</v>
      </c>
      <c r="H16" s="14">
        <v>108</v>
      </c>
      <c r="I16" s="15">
        <f t="shared" si="0"/>
        <v>870</v>
      </c>
      <c r="J16" s="15">
        <f t="shared" si="1"/>
        <v>570</v>
      </c>
      <c r="K16" s="16" t="s">
        <v>49</v>
      </c>
      <c r="L16" s="16" t="s">
        <v>50</v>
      </c>
      <c r="M16" s="16" t="s">
        <v>61</v>
      </c>
      <c r="N16" s="17" t="s">
        <v>70</v>
      </c>
    </row>
    <row r="17" spans="1:14" ht="54.75" customHeight="1" x14ac:dyDescent="0.25">
      <c r="A17" s="13">
        <v>46255</v>
      </c>
      <c r="B17" s="14">
        <v>402</v>
      </c>
      <c r="C17" s="14">
        <v>22</v>
      </c>
      <c r="D17" s="14">
        <v>108</v>
      </c>
      <c r="E17" s="14">
        <v>32</v>
      </c>
      <c r="F17" s="14">
        <v>250</v>
      </c>
      <c r="G17" s="14">
        <v>5</v>
      </c>
      <c r="H17" s="14">
        <v>97</v>
      </c>
      <c r="I17" s="15">
        <f>IF(SUM(B17:F17,H17)=0,"",SUM(B17:F17,H17))</f>
        <v>911</v>
      </c>
      <c r="J17" s="15">
        <f t="shared" si="1"/>
        <v>529</v>
      </c>
      <c r="K17" s="16" t="s">
        <v>58</v>
      </c>
      <c r="L17" s="16" t="s">
        <v>58</v>
      </c>
      <c r="M17" s="16" t="s">
        <v>51</v>
      </c>
      <c r="N17" s="17" t="s">
        <v>71</v>
      </c>
    </row>
    <row r="18" spans="1:14" ht="53.25" customHeight="1" x14ac:dyDescent="0.25">
      <c r="A18" s="13">
        <v>46256</v>
      </c>
      <c r="B18" s="14">
        <v>468</v>
      </c>
      <c r="C18" s="14">
        <v>25</v>
      </c>
      <c r="D18" s="14">
        <v>132</v>
      </c>
      <c r="E18" s="14">
        <v>42</v>
      </c>
      <c r="F18" s="14">
        <v>0</v>
      </c>
      <c r="G18" s="14">
        <v>0</v>
      </c>
      <c r="H18" s="14">
        <v>185</v>
      </c>
      <c r="I18" s="15">
        <f t="shared" ref="I18" si="2">IF(SUM(B18:F18,H18)=0,"",SUM(B18:F18,H18))</f>
        <v>852</v>
      </c>
      <c r="J18" s="15">
        <f t="shared" ref="J18" si="3">IF(I18="","",1440-I18)</f>
        <v>588</v>
      </c>
      <c r="K18" s="16" t="s">
        <v>49</v>
      </c>
      <c r="L18" s="16" t="s">
        <v>50</v>
      </c>
      <c r="M18" s="16" t="s">
        <v>61</v>
      </c>
      <c r="N18" s="17" t="s">
        <v>72</v>
      </c>
    </row>
    <row r="19" spans="1:14" ht="49.5" customHeight="1" x14ac:dyDescent="0.25">
      <c r="A19" s="13">
        <v>46257</v>
      </c>
      <c r="B19" s="14">
        <v>502</v>
      </c>
      <c r="C19" s="14">
        <v>27</v>
      </c>
      <c r="D19" s="14">
        <v>138</v>
      </c>
      <c r="E19" s="14">
        <v>47</v>
      </c>
      <c r="F19" s="14">
        <v>0</v>
      </c>
      <c r="G19" s="14">
        <v>0</v>
      </c>
      <c r="H19" s="14">
        <v>167</v>
      </c>
      <c r="I19" s="15">
        <f t="shared" ref="I19" si="4">IF(SUM(B19:F19,H19)=0,"",SUM(B19:F19,H19))</f>
        <v>881</v>
      </c>
      <c r="J19" s="15">
        <f t="shared" ref="J19" si="5">IF(I19="","",1440-I19)</f>
        <v>559</v>
      </c>
      <c r="K19" s="16" t="s">
        <v>49</v>
      </c>
      <c r="L19" s="16" t="s">
        <v>50</v>
      </c>
      <c r="M19" s="16" t="s">
        <v>61</v>
      </c>
      <c r="N19" s="17" t="s">
        <v>73</v>
      </c>
    </row>
    <row r="20" spans="1:14" ht="45.75" customHeight="1" x14ac:dyDescent="0.25">
      <c r="A20" s="13">
        <v>46258</v>
      </c>
      <c r="B20" s="14">
        <v>385</v>
      </c>
      <c r="C20" s="14">
        <v>26</v>
      </c>
      <c r="D20" s="14">
        <v>101</v>
      </c>
      <c r="E20" s="14">
        <v>27</v>
      </c>
      <c r="F20" s="14">
        <v>250</v>
      </c>
      <c r="G20" s="14">
        <v>5</v>
      </c>
      <c r="H20" s="14">
        <v>102</v>
      </c>
      <c r="I20" s="15">
        <f t="shared" si="0"/>
        <v>891</v>
      </c>
      <c r="J20" s="15">
        <f t="shared" si="1"/>
        <v>549</v>
      </c>
      <c r="K20" s="16" t="s">
        <v>58</v>
      </c>
      <c r="L20" s="16" t="s">
        <v>50</v>
      </c>
      <c r="M20" s="16" t="s">
        <v>51</v>
      </c>
      <c r="N20" s="17" t="s">
        <v>74</v>
      </c>
    </row>
    <row r="21" spans="1:14" ht="42" customHeight="1" x14ac:dyDescent="0.25">
      <c r="A21" s="13">
        <v>46259</v>
      </c>
      <c r="B21" s="14">
        <v>384</v>
      </c>
      <c r="C21" s="14">
        <v>22</v>
      </c>
      <c r="D21" s="14">
        <v>88</v>
      </c>
      <c r="E21" s="14">
        <v>20</v>
      </c>
      <c r="F21" s="14">
        <v>350</v>
      </c>
      <c r="G21" s="14">
        <v>7</v>
      </c>
      <c r="H21" s="14">
        <v>85</v>
      </c>
      <c r="I21" s="15">
        <f t="shared" si="0"/>
        <v>949</v>
      </c>
      <c r="J21" s="15">
        <f t="shared" si="1"/>
        <v>491</v>
      </c>
      <c r="K21" s="16" t="s">
        <v>58</v>
      </c>
      <c r="L21" s="16" t="s">
        <v>58</v>
      </c>
      <c r="M21" s="16" t="s">
        <v>51</v>
      </c>
      <c r="N21" s="17" t="s">
        <v>75</v>
      </c>
    </row>
    <row r="22" spans="1:14" ht="31.5" customHeight="1" x14ac:dyDescent="0.25">
      <c r="A22" s="13">
        <v>46260</v>
      </c>
      <c r="B22" s="14">
        <v>388</v>
      </c>
      <c r="C22" s="14">
        <v>21</v>
      </c>
      <c r="D22" s="14">
        <v>92</v>
      </c>
      <c r="E22" s="14">
        <v>23</v>
      </c>
      <c r="F22" s="14">
        <v>300</v>
      </c>
      <c r="G22" s="14">
        <v>6</v>
      </c>
      <c r="H22" s="14">
        <v>94</v>
      </c>
      <c r="I22" s="15">
        <f t="shared" si="0"/>
        <v>918</v>
      </c>
      <c r="J22" s="15">
        <f t="shared" si="1"/>
        <v>522</v>
      </c>
      <c r="K22" s="16" t="s">
        <v>62</v>
      </c>
      <c r="L22" s="16" t="s">
        <v>63</v>
      </c>
      <c r="M22" s="16" t="s">
        <v>62</v>
      </c>
      <c r="N22" s="17" t="s">
        <v>76</v>
      </c>
    </row>
    <row r="23" spans="1:14" ht="51" customHeight="1" x14ac:dyDescent="0.25">
      <c r="A23" s="13">
        <v>46261</v>
      </c>
      <c r="B23" s="14">
        <v>397</v>
      </c>
      <c r="C23" s="14">
        <v>27</v>
      </c>
      <c r="D23" s="14">
        <v>76</v>
      </c>
      <c r="E23" s="14">
        <v>39</v>
      </c>
      <c r="F23" s="14">
        <v>300</v>
      </c>
      <c r="G23" s="14">
        <v>6</v>
      </c>
      <c r="H23" s="14">
        <v>87</v>
      </c>
      <c r="I23" s="15">
        <f t="shared" si="0"/>
        <v>926</v>
      </c>
      <c r="J23" s="15">
        <f t="shared" si="1"/>
        <v>514</v>
      </c>
      <c r="K23" s="16" t="s">
        <v>58</v>
      </c>
      <c r="L23" s="16" t="s">
        <v>58</v>
      </c>
      <c r="M23" s="16" t="s">
        <v>51</v>
      </c>
      <c r="N23" s="17" t="s">
        <v>78</v>
      </c>
    </row>
    <row r="24" spans="1:14" ht="54" customHeight="1" x14ac:dyDescent="0.25">
      <c r="A24" s="13">
        <v>46262</v>
      </c>
      <c r="B24" s="14">
        <v>403</v>
      </c>
      <c r="C24" s="14">
        <v>0</v>
      </c>
      <c r="D24" s="14">
        <v>57</v>
      </c>
      <c r="E24" s="14">
        <v>0</v>
      </c>
      <c r="F24" s="14">
        <v>250</v>
      </c>
      <c r="G24" s="14">
        <v>5</v>
      </c>
      <c r="H24" s="14">
        <v>256</v>
      </c>
      <c r="I24" s="15">
        <f t="shared" si="0"/>
        <v>966</v>
      </c>
      <c r="J24" s="15">
        <f t="shared" si="1"/>
        <v>474</v>
      </c>
      <c r="K24" s="16" t="s">
        <v>49</v>
      </c>
      <c r="L24" s="16" t="s">
        <v>58</v>
      </c>
      <c r="M24" s="16" t="s">
        <v>51</v>
      </c>
      <c r="N24" s="17" t="s">
        <v>79</v>
      </c>
    </row>
    <row r="25" spans="1:14" ht="57.75" customHeight="1" x14ac:dyDescent="0.25">
      <c r="A25" s="13">
        <v>46263</v>
      </c>
      <c r="B25" s="14">
        <v>443</v>
      </c>
      <c r="C25" s="14">
        <v>21</v>
      </c>
      <c r="D25" s="14">
        <v>0</v>
      </c>
      <c r="E25" s="14">
        <v>0</v>
      </c>
      <c r="F25" s="14">
        <v>0</v>
      </c>
      <c r="G25" s="14">
        <v>0</v>
      </c>
      <c r="H25" s="14">
        <v>389</v>
      </c>
      <c r="I25" s="15">
        <f t="shared" si="0"/>
        <v>853</v>
      </c>
      <c r="J25" s="15">
        <f t="shared" si="1"/>
        <v>587</v>
      </c>
      <c r="K25" s="16" t="s">
        <v>49</v>
      </c>
      <c r="L25" s="16" t="s">
        <v>50</v>
      </c>
      <c r="M25" s="16" t="s">
        <v>61</v>
      </c>
      <c r="N25" s="17" t="s">
        <v>80</v>
      </c>
    </row>
    <row r="26" spans="1:14" ht="65.25" customHeight="1" x14ac:dyDescent="0.25">
      <c r="A26" s="13">
        <v>46264</v>
      </c>
      <c r="B26" s="14">
        <v>434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456</v>
      </c>
      <c r="I26" s="15">
        <f t="shared" si="0"/>
        <v>890</v>
      </c>
      <c r="J26" s="15">
        <f t="shared" si="1"/>
        <v>550</v>
      </c>
      <c r="K26" s="16" t="s">
        <v>77</v>
      </c>
      <c r="L26" s="16" t="s">
        <v>50</v>
      </c>
      <c r="M26" s="16" t="s">
        <v>61</v>
      </c>
      <c r="N26" s="17" t="s">
        <v>81</v>
      </c>
    </row>
    <row r="27" spans="1:14" ht="39.75" customHeight="1" x14ac:dyDescent="0.25">
      <c r="A27" s="13">
        <v>46265</v>
      </c>
      <c r="B27" s="14">
        <v>408</v>
      </c>
      <c r="C27" s="14">
        <v>23</v>
      </c>
      <c r="D27" s="14">
        <v>88</v>
      </c>
      <c r="E27" s="14">
        <v>43</v>
      </c>
      <c r="F27" s="14">
        <v>0</v>
      </c>
      <c r="G27" s="14">
        <v>0</v>
      </c>
      <c r="H27" s="14">
        <v>102</v>
      </c>
      <c r="I27" s="15">
        <f t="shared" si="0"/>
        <v>664</v>
      </c>
      <c r="J27" s="15">
        <f t="shared" si="1"/>
        <v>776</v>
      </c>
      <c r="K27" s="16" t="s">
        <v>49</v>
      </c>
      <c r="L27" s="16" t="s">
        <v>50</v>
      </c>
      <c r="M27" s="16" t="s">
        <v>51</v>
      </c>
      <c r="N27" s="17" t="s">
        <v>82</v>
      </c>
    </row>
    <row r="28" spans="1:14" ht="42.75" customHeight="1" x14ac:dyDescent="0.25">
      <c r="A28" s="13">
        <v>46266</v>
      </c>
      <c r="B28" s="14">
        <v>398</v>
      </c>
      <c r="C28" s="14">
        <v>27</v>
      </c>
      <c r="D28" s="14">
        <v>76</v>
      </c>
      <c r="E28" s="14">
        <v>34</v>
      </c>
      <c r="F28" s="14">
        <v>350</v>
      </c>
      <c r="G28" s="14">
        <v>7</v>
      </c>
      <c r="H28" s="14">
        <v>78</v>
      </c>
      <c r="I28" s="15">
        <f t="shared" si="0"/>
        <v>963</v>
      </c>
      <c r="J28" s="15">
        <f t="shared" si="1"/>
        <v>477</v>
      </c>
      <c r="K28" s="16" t="s">
        <v>58</v>
      </c>
      <c r="L28" s="16" t="s">
        <v>58</v>
      </c>
      <c r="M28" s="16" t="s">
        <v>51</v>
      </c>
      <c r="N28" s="17" t="s">
        <v>83</v>
      </c>
    </row>
    <row r="29" spans="1:14" ht="62.25" customHeight="1" x14ac:dyDescent="0.25">
      <c r="A29" s="13">
        <v>46267</v>
      </c>
      <c r="B29" s="14">
        <v>402</v>
      </c>
      <c r="C29" s="14">
        <v>28</v>
      </c>
      <c r="D29" s="14">
        <v>83</v>
      </c>
      <c r="E29" s="14">
        <v>28</v>
      </c>
      <c r="F29" s="14">
        <v>300</v>
      </c>
      <c r="G29" s="14">
        <v>6</v>
      </c>
      <c r="H29" s="14">
        <v>108</v>
      </c>
      <c r="I29" s="15">
        <f t="shared" si="0"/>
        <v>949</v>
      </c>
      <c r="J29" s="15">
        <f t="shared" si="1"/>
        <v>491</v>
      </c>
      <c r="K29" s="16" t="s">
        <v>49</v>
      </c>
      <c r="L29" s="16" t="s">
        <v>50</v>
      </c>
      <c r="M29" s="16" t="s">
        <v>51</v>
      </c>
      <c r="N29" s="17" t="s">
        <v>70</v>
      </c>
    </row>
    <row r="30" spans="1:14" ht="59.25" customHeight="1" x14ac:dyDescent="0.25">
      <c r="A30" s="13">
        <v>46268</v>
      </c>
      <c r="B30" s="14">
        <v>403</v>
      </c>
      <c r="C30" s="14">
        <v>28</v>
      </c>
      <c r="D30" s="14">
        <v>84</v>
      </c>
      <c r="E30" s="14">
        <v>29</v>
      </c>
      <c r="F30" s="14">
        <v>200</v>
      </c>
      <c r="G30" s="14">
        <v>4</v>
      </c>
      <c r="H30" s="14">
        <v>112</v>
      </c>
      <c r="I30" s="15">
        <f t="shared" si="0"/>
        <v>856</v>
      </c>
      <c r="J30" s="15">
        <f t="shared" si="1"/>
        <v>584</v>
      </c>
      <c r="K30" s="16" t="s">
        <v>49</v>
      </c>
      <c r="L30" s="16" t="s">
        <v>58</v>
      </c>
      <c r="M30" s="16" t="s">
        <v>51</v>
      </c>
      <c r="N30" s="17" t="s">
        <v>84</v>
      </c>
    </row>
    <row r="31" spans="1:14" ht="43.5" customHeight="1" x14ac:dyDescent="0.25">
      <c r="A31" s="13">
        <v>46269</v>
      </c>
      <c r="B31" s="14">
        <v>401</v>
      </c>
      <c r="C31" s="14">
        <v>27</v>
      </c>
      <c r="D31" s="14">
        <v>87</v>
      </c>
      <c r="E31" s="14">
        <v>28</v>
      </c>
      <c r="F31" s="14">
        <v>200</v>
      </c>
      <c r="G31" s="14">
        <v>4</v>
      </c>
      <c r="H31" s="14">
        <v>167</v>
      </c>
      <c r="I31" s="15">
        <f t="shared" si="0"/>
        <v>910</v>
      </c>
      <c r="J31" s="15">
        <f t="shared" si="1"/>
        <v>530</v>
      </c>
      <c r="K31" s="16" t="s">
        <v>49</v>
      </c>
      <c r="L31" s="16" t="s">
        <v>50</v>
      </c>
      <c r="M31" s="16" t="s">
        <v>61</v>
      </c>
      <c r="N31" s="17" t="s">
        <v>85</v>
      </c>
    </row>
    <row r="32" spans="1:14" ht="47.25" customHeight="1" x14ac:dyDescent="0.25">
      <c r="A32" s="13">
        <v>46270</v>
      </c>
      <c r="B32" s="14">
        <v>422</v>
      </c>
      <c r="C32" s="14">
        <v>22</v>
      </c>
      <c r="D32" s="14">
        <v>43</v>
      </c>
      <c r="E32" s="14">
        <v>15</v>
      </c>
      <c r="F32" s="14">
        <v>0</v>
      </c>
      <c r="G32" s="14">
        <v>0</v>
      </c>
      <c r="H32" s="14">
        <v>189</v>
      </c>
      <c r="I32" s="15">
        <f t="shared" si="0"/>
        <v>691</v>
      </c>
      <c r="J32" s="15">
        <f t="shared" si="1"/>
        <v>749</v>
      </c>
      <c r="K32" s="16" t="s">
        <v>49</v>
      </c>
      <c r="L32" s="16" t="s">
        <v>50</v>
      </c>
      <c r="M32" s="16" t="s">
        <v>61</v>
      </c>
      <c r="N32" s="17" t="s">
        <v>86</v>
      </c>
    </row>
    <row r="33" spans="1:14" ht="57.75" customHeight="1" x14ac:dyDescent="0.25">
      <c r="A33" s="13">
        <v>46271</v>
      </c>
      <c r="B33" s="14">
        <v>432</v>
      </c>
      <c r="C33" s="14">
        <v>27</v>
      </c>
      <c r="D33" s="14">
        <v>68</v>
      </c>
      <c r="E33" s="14">
        <v>22</v>
      </c>
      <c r="F33" s="14">
        <v>0</v>
      </c>
      <c r="G33" s="14">
        <v>0</v>
      </c>
      <c r="H33" s="14">
        <v>112</v>
      </c>
      <c r="I33" s="15">
        <f t="shared" si="0"/>
        <v>661</v>
      </c>
      <c r="J33" s="15">
        <f t="shared" si="1"/>
        <v>779</v>
      </c>
      <c r="K33" s="16" t="s">
        <v>49</v>
      </c>
      <c r="L33" s="16" t="s">
        <v>58</v>
      </c>
      <c r="M33" s="16" t="s">
        <v>51</v>
      </c>
      <c r="N33" s="17" t="s">
        <v>87</v>
      </c>
    </row>
    <row r="34" spans="1:14" ht="47.25" customHeight="1" x14ac:dyDescent="0.25">
      <c r="A34" s="13">
        <v>46272</v>
      </c>
      <c r="B34" s="14">
        <v>389</v>
      </c>
      <c r="C34" s="14">
        <v>27</v>
      </c>
      <c r="D34" s="14">
        <v>81</v>
      </c>
      <c r="E34" s="14">
        <v>18</v>
      </c>
      <c r="F34" s="14">
        <v>250</v>
      </c>
      <c r="G34" s="14">
        <v>5</v>
      </c>
      <c r="H34" s="14">
        <v>108</v>
      </c>
      <c r="I34" s="15">
        <f t="shared" si="0"/>
        <v>873</v>
      </c>
      <c r="J34" s="15">
        <f t="shared" si="1"/>
        <v>567</v>
      </c>
      <c r="K34" s="16" t="s">
        <v>49</v>
      </c>
      <c r="L34" s="16" t="s">
        <v>50</v>
      </c>
      <c r="M34" s="16" t="s">
        <v>51</v>
      </c>
      <c r="N34" s="17" t="s">
        <v>88</v>
      </c>
    </row>
    <row r="35" spans="1:14" ht="53.25" customHeight="1" x14ac:dyDescent="0.25">
      <c r="A35" s="13">
        <v>46273</v>
      </c>
      <c r="B35" s="14">
        <v>381</v>
      </c>
      <c r="C35" s="14">
        <v>22</v>
      </c>
      <c r="D35" s="14">
        <v>78</v>
      </c>
      <c r="E35" s="14">
        <v>21</v>
      </c>
      <c r="F35" s="14">
        <v>350</v>
      </c>
      <c r="G35" s="14">
        <v>7</v>
      </c>
      <c r="H35" s="14">
        <v>87</v>
      </c>
      <c r="I35" s="15">
        <f t="shared" si="0"/>
        <v>939</v>
      </c>
      <c r="J35" s="15">
        <f t="shared" si="1"/>
        <v>501</v>
      </c>
      <c r="K35" s="16" t="s">
        <v>58</v>
      </c>
      <c r="L35" s="16" t="s">
        <v>58</v>
      </c>
      <c r="M35" s="16" t="s">
        <v>51</v>
      </c>
      <c r="N35" s="17" t="s">
        <v>89</v>
      </c>
    </row>
    <row r="36" spans="1:14" ht="51.75" customHeight="1" x14ac:dyDescent="0.25">
      <c r="A36" s="13">
        <v>46274</v>
      </c>
      <c r="B36" s="14">
        <v>388</v>
      </c>
      <c r="C36" s="14">
        <v>23</v>
      </c>
      <c r="D36" s="14">
        <v>67</v>
      </c>
      <c r="E36" s="14">
        <v>23</v>
      </c>
      <c r="F36" s="14">
        <v>300</v>
      </c>
      <c r="G36" s="14">
        <v>6</v>
      </c>
      <c r="H36" s="14">
        <v>101</v>
      </c>
      <c r="I36" s="15">
        <f t="shared" si="0"/>
        <v>902</v>
      </c>
      <c r="J36" s="15">
        <f t="shared" si="1"/>
        <v>538</v>
      </c>
      <c r="K36" s="16" t="s">
        <v>58</v>
      </c>
      <c r="L36" s="16" t="s">
        <v>50</v>
      </c>
      <c r="M36" s="16" t="s">
        <v>51</v>
      </c>
      <c r="N36" s="17" t="s">
        <v>74</v>
      </c>
    </row>
    <row r="37" spans="1:14" ht="47.25" customHeight="1" x14ac:dyDescent="0.25">
      <c r="A37" s="13">
        <v>46275</v>
      </c>
      <c r="B37" s="14">
        <v>381</v>
      </c>
      <c r="C37" s="14">
        <v>32</v>
      </c>
      <c r="D37" s="14">
        <v>0</v>
      </c>
      <c r="E37" s="14">
        <v>0</v>
      </c>
      <c r="F37" s="14">
        <v>150</v>
      </c>
      <c r="G37" s="14">
        <v>3</v>
      </c>
      <c r="H37" s="14">
        <v>330</v>
      </c>
      <c r="I37" s="15">
        <f t="shared" si="0"/>
        <v>893</v>
      </c>
      <c r="J37" s="15">
        <f t="shared" si="1"/>
        <v>547</v>
      </c>
      <c r="K37" s="16" t="s">
        <v>49</v>
      </c>
      <c r="L37" s="16" t="s">
        <v>50</v>
      </c>
      <c r="M37" s="16" t="s">
        <v>61</v>
      </c>
      <c r="N37" s="17" t="s">
        <v>90</v>
      </c>
    </row>
    <row r="38" spans="1:14" ht="42.75" customHeight="1" x14ac:dyDescent="0.25">
      <c r="A38" s="13">
        <v>46276</v>
      </c>
      <c r="B38" s="14">
        <v>398</v>
      </c>
      <c r="C38" s="14">
        <v>0</v>
      </c>
      <c r="D38" s="14">
        <v>0</v>
      </c>
      <c r="E38" s="14">
        <v>0</v>
      </c>
      <c r="F38" s="14">
        <v>250</v>
      </c>
      <c r="G38" s="14">
        <v>5</v>
      </c>
      <c r="H38" s="14">
        <v>250</v>
      </c>
      <c r="I38" s="15">
        <f t="shared" si="0"/>
        <v>898</v>
      </c>
      <c r="J38" s="15">
        <f t="shared" si="1"/>
        <v>542</v>
      </c>
      <c r="K38" s="16" t="s">
        <v>49</v>
      </c>
      <c r="L38" s="16" t="s">
        <v>50</v>
      </c>
      <c r="M38" s="16" t="s">
        <v>51</v>
      </c>
      <c r="N38" s="17" t="s">
        <v>91</v>
      </c>
    </row>
    <row r="39" spans="1:14" ht="45" customHeight="1" x14ac:dyDescent="0.25">
      <c r="A39" s="13">
        <v>46277</v>
      </c>
      <c r="B39" s="14">
        <v>401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280</v>
      </c>
      <c r="I39" s="15">
        <f t="shared" si="0"/>
        <v>681</v>
      </c>
      <c r="J39" s="15">
        <f t="shared" si="1"/>
        <v>759</v>
      </c>
      <c r="K39" s="16" t="s">
        <v>77</v>
      </c>
      <c r="L39" s="16" t="s">
        <v>50</v>
      </c>
      <c r="M39" s="16" t="s">
        <v>61</v>
      </c>
      <c r="N39" s="17" t="s">
        <v>92</v>
      </c>
    </row>
    <row r="40" spans="1:14" ht="43.5" customHeight="1" x14ac:dyDescent="0.25">
      <c r="A40" s="13">
        <v>46278</v>
      </c>
      <c r="B40" s="14">
        <v>420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223</v>
      </c>
      <c r="I40" s="15">
        <f t="shared" si="0"/>
        <v>643</v>
      </c>
      <c r="J40" s="15">
        <f t="shared" si="1"/>
        <v>797</v>
      </c>
      <c r="K40" s="16" t="s">
        <v>49</v>
      </c>
      <c r="L40" s="16" t="s">
        <v>50</v>
      </c>
      <c r="M40" s="16" t="s">
        <v>61</v>
      </c>
      <c r="N40" s="17" t="s">
        <v>93</v>
      </c>
    </row>
    <row r="41" spans="1:14" ht="37.5" customHeight="1" x14ac:dyDescent="0.25">
      <c r="A41" s="13">
        <v>46279</v>
      </c>
      <c r="B41" s="14">
        <v>388</v>
      </c>
      <c r="C41" s="14">
        <v>33</v>
      </c>
      <c r="D41" s="14">
        <v>66</v>
      </c>
      <c r="E41" s="14">
        <v>23</v>
      </c>
      <c r="F41" s="14">
        <v>250</v>
      </c>
      <c r="G41" s="14">
        <v>5</v>
      </c>
      <c r="H41" s="14">
        <v>101</v>
      </c>
      <c r="I41" s="15">
        <f t="shared" si="0"/>
        <v>861</v>
      </c>
      <c r="J41" s="15">
        <f t="shared" si="1"/>
        <v>579</v>
      </c>
      <c r="K41" s="16" t="s">
        <v>49</v>
      </c>
      <c r="L41" s="16" t="s">
        <v>50</v>
      </c>
      <c r="M41" s="16" t="s">
        <v>61</v>
      </c>
      <c r="N41" s="17" t="s">
        <v>85</v>
      </c>
    </row>
    <row r="42" spans="1:14" ht="41.25" customHeight="1" x14ac:dyDescent="0.25">
      <c r="A42" s="13">
        <v>46280</v>
      </c>
      <c r="B42" s="14">
        <v>382</v>
      </c>
      <c r="C42" s="14">
        <v>28</v>
      </c>
      <c r="D42" s="14">
        <v>68</v>
      </c>
      <c r="E42" s="14">
        <v>23</v>
      </c>
      <c r="F42" s="14">
        <v>350</v>
      </c>
      <c r="G42" s="14">
        <v>7</v>
      </c>
      <c r="H42" s="14">
        <v>97</v>
      </c>
      <c r="I42" s="15">
        <f t="shared" si="0"/>
        <v>948</v>
      </c>
      <c r="J42" s="15">
        <f t="shared" si="1"/>
        <v>492</v>
      </c>
      <c r="K42" s="16" t="s">
        <v>58</v>
      </c>
      <c r="L42" s="16" t="s">
        <v>58</v>
      </c>
      <c r="M42" s="16" t="s">
        <v>51</v>
      </c>
      <c r="N42" s="17" t="s">
        <v>89</v>
      </c>
    </row>
    <row r="43" spans="1:14" ht="31.5" customHeight="1" x14ac:dyDescent="0.25">
      <c r="A43" s="13">
        <v>46281</v>
      </c>
      <c r="B43" s="14">
        <v>388</v>
      </c>
      <c r="C43" s="14">
        <v>23</v>
      </c>
      <c r="D43" s="14">
        <v>30</v>
      </c>
      <c r="E43" s="14">
        <v>20</v>
      </c>
      <c r="F43" s="14">
        <v>300</v>
      </c>
      <c r="G43" s="14">
        <v>6</v>
      </c>
      <c r="H43" s="14">
        <v>110</v>
      </c>
      <c r="I43" s="15">
        <f t="shared" si="0"/>
        <v>871</v>
      </c>
      <c r="J43" s="15">
        <f t="shared" si="1"/>
        <v>569</v>
      </c>
      <c r="K43" s="16" t="s">
        <v>62</v>
      </c>
      <c r="L43" s="16" t="s">
        <v>63</v>
      </c>
      <c r="M43" s="16" t="s">
        <v>62</v>
      </c>
      <c r="N43" s="17" t="s">
        <v>94</v>
      </c>
    </row>
    <row r="44" spans="1:14" ht="48.75" customHeight="1" x14ac:dyDescent="0.25">
      <c r="A44" s="13">
        <v>46282</v>
      </c>
      <c r="B44" s="14">
        <v>398</v>
      </c>
      <c r="C44" s="14">
        <v>25</v>
      </c>
      <c r="D44" s="14">
        <v>32</v>
      </c>
      <c r="E44" s="14">
        <v>22</v>
      </c>
      <c r="F44" s="14">
        <v>200</v>
      </c>
      <c r="G44" s="14">
        <v>4</v>
      </c>
      <c r="H44" s="14">
        <v>88</v>
      </c>
      <c r="I44" s="15">
        <f t="shared" si="0"/>
        <v>765</v>
      </c>
      <c r="J44" s="15">
        <f t="shared" si="1"/>
        <v>675</v>
      </c>
      <c r="K44" s="16" t="s">
        <v>58</v>
      </c>
      <c r="L44" s="16" t="s">
        <v>63</v>
      </c>
      <c r="M44" s="16" t="s">
        <v>51</v>
      </c>
      <c r="N44" s="17" t="s">
        <v>95</v>
      </c>
    </row>
    <row r="45" spans="1:14" ht="42.75" x14ac:dyDescent="0.25">
      <c r="A45" s="13">
        <v>46283</v>
      </c>
      <c r="B45" s="14">
        <v>372</v>
      </c>
      <c r="C45" s="14">
        <v>27</v>
      </c>
      <c r="D45" s="14">
        <v>68</v>
      </c>
      <c r="E45" s="14">
        <v>0</v>
      </c>
      <c r="F45" s="14">
        <v>250</v>
      </c>
      <c r="G45" s="14">
        <v>5</v>
      </c>
      <c r="H45" s="14">
        <v>74</v>
      </c>
      <c r="I45" s="15">
        <f t="shared" si="0"/>
        <v>791</v>
      </c>
      <c r="J45" s="15">
        <f t="shared" si="1"/>
        <v>649</v>
      </c>
      <c r="K45" s="16" t="s">
        <v>49</v>
      </c>
      <c r="L45" s="16" t="s">
        <v>50</v>
      </c>
      <c r="M45" s="16" t="s">
        <v>51</v>
      </c>
      <c r="N45" s="17" t="s">
        <v>96</v>
      </c>
    </row>
    <row r="46" spans="1:14" ht="44.25" customHeight="1" x14ac:dyDescent="0.25">
      <c r="A46" s="13">
        <v>46284</v>
      </c>
      <c r="B46" s="14">
        <v>402</v>
      </c>
      <c r="C46" s="14">
        <v>22</v>
      </c>
      <c r="D46" s="14">
        <v>45</v>
      </c>
      <c r="E46" s="14">
        <v>0</v>
      </c>
      <c r="F46" s="14">
        <v>0</v>
      </c>
      <c r="G46" s="14">
        <v>0</v>
      </c>
      <c r="H46" s="14">
        <v>167</v>
      </c>
      <c r="I46" s="15">
        <f t="shared" si="0"/>
        <v>636</v>
      </c>
      <c r="J46" s="15">
        <f t="shared" si="1"/>
        <v>804</v>
      </c>
      <c r="K46" s="16" t="s">
        <v>49</v>
      </c>
      <c r="L46" s="16" t="s">
        <v>50</v>
      </c>
      <c r="M46" s="16" t="s">
        <v>61</v>
      </c>
      <c r="N46" s="17" t="s">
        <v>97</v>
      </c>
    </row>
    <row r="47" spans="1:14" ht="54.75" customHeight="1" x14ac:dyDescent="0.25">
      <c r="A47" s="13">
        <v>46285</v>
      </c>
      <c r="B47" s="14">
        <v>410</v>
      </c>
      <c r="C47" s="14">
        <v>0</v>
      </c>
      <c r="D47" s="14">
        <v>44</v>
      </c>
      <c r="E47" s="14">
        <v>0</v>
      </c>
      <c r="F47" s="14">
        <v>0</v>
      </c>
      <c r="G47" s="14">
        <v>0</v>
      </c>
      <c r="H47" s="14">
        <v>187</v>
      </c>
      <c r="I47" s="15">
        <f t="shared" si="0"/>
        <v>641</v>
      </c>
      <c r="J47" s="15">
        <f t="shared" si="1"/>
        <v>799</v>
      </c>
      <c r="K47" s="16" t="s">
        <v>58</v>
      </c>
      <c r="L47" s="16" t="s">
        <v>63</v>
      </c>
      <c r="M47" s="16" t="s">
        <v>51</v>
      </c>
      <c r="N47" s="17" t="s">
        <v>98</v>
      </c>
    </row>
    <row r="48" spans="1:14" ht="54.75" customHeight="1" x14ac:dyDescent="0.25">
      <c r="A48" s="13">
        <v>46286</v>
      </c>
      <c r="B48" s="14">
        <v>389</v>
      </c>
      <c r="C48" s="14">
        <v>23</v>
      </c>
      <c r="D48" s="14">
        <v>56</v>
      </c>
      <c r="E48" s="14">
        <v>101</v>
      </c>
      <c r="F48" s="14">
        <v>250</v>
      </c>
      <c r="G48" s="14">
        <v>5</v>
      </c>
      <c r="H48" s="14">
        <v>110</v>
      </c>
      <c r="I48" s="15">
        <f t="shared" si="0"/>
        <v>929</v>
      </c>
      <c r="J48" s="15">
        <f t="shared" si="1"/>
        <v>511</v>
      </c>
      <c r="K48" s="16" t="s">
        <v>49</v>
      </c>
      <c r="L48" s="16" t="s">
        <v>50</v>
      </c>
      <c r="M48" s="16" t="s">
        <v>61</v>
      </c>
      <c r="N48" s="17" t="s">
        <v>99</v>
      </c>
    </row>
    <row r="49" spans="1:14" ht="55.5" customHeight="1" x14ac:dyDescent="0.25">
      <c r="A49" s="13">
        <v>46287</v>
      </c>
      <c r="B49" s="14">
        <v>398</v>
      </c>
      <c r="C49" s="14">
        <v>24</v>
      </c>
      <c r="D49" s="14">
        <v>61</v>
      </c>
      <c r="E49" s="14">
        <v>21</v>
      </c>
      <c r="F49" s="14">
        <v>350</v>
      </c>
      <c r="G49" s="14">
        <v>7</v>
      </c>
      <c r="H49" s="14">
        <v>89</v>
      </c>
      <c r="I49" s="15">
        <f t="shared" si="0"/>
        <v>943</v>
      </c>
      <c r="J49" s="15">
        <f t="shared" si="1"/>
        <v>497</v>
      </c>
      <c r="K49" s="16" t="s">
        <v>58</v>
      </c>
      <c r="L49" s="16" t="s">
        <v>50</v>
      </c>
      <c r="M49" s="16" t="s">
        <v>51</v>
      </c>
      <c r="N49" s="17" t="s">
        <v>74</v>
      </c>
    </row>
    <row r="50" spans="1:14" ht="42" customHeight="1" x14ac:dyDescent="0.25">
      <c r="A50" s="13">
        <v>46288</v>
      </c>
      <c r="B50" s="14">
        <v>289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689</v>
      </c>
      <c r="I50" s="15">
        <f t="shared" si="0"/>
        <v>978</v>
      </c>
      <c r="J50" s="15">
        <f t="shared" si="1"/>
        <v>462</v>
      </c>
      <c r="K50" s="16" t="s">
        <v>49</v>
      </c>
      <c r="L50" s="16" t="s">
        <v>50</v>
      </c>
      <c r="M50" s="16" t="s">
        <v>61</v>
      </c>
      <c r="N50" s="17" t="s">
        <v>100</v>
      </c>
    </row>
    <row r="51" spans="1:14" ht="38.25" customHeight="1" x14ac:dyDescent="0.25">
      <c r="A51" s="13">
        <v>46289</v>
      </c>
      <c r="B51" s="14">
        <v>402</v>
      </c>
      <c r="C51" s="14">
        <v>23</v>
      </c>
      <c r="D51" s="14">
        <v>67</v>
      </c>
      <c r="E51" s="14">
        <v>21</v>
      </c>
      <c r="F51" s="14">
        <v>150</v>
      </c>
      <c r="G51" s="14">
        <v>3</v>
      </c>
      <c r="H51" s="14">
        <v>112</v>
      </c>
      <c r="I51" s="15">
        <f t="shared" si="0"/>
        <v>775</v>
      </c>
      <c r="J51" s="15">
        <f t="shared" si="1"/>
        <v>665</v>
      </c>
      <c r="K51" s="16" t="s">
        <v>49</v>
      </c>
      <c r="L51" s="16" t="s">
        <v>50</v>
      </c>
      <c r="M51" s="16" t="s">
        <v>61</v>
      </c>
      <c r="N51" s="17" t="s">
        <v>96</v>
      </c>
    </row>
    <row r="52" spans="1:14" ht="39.75" customHeight="1" x14ac:dyDescent="0.25">
      <c r="A52" s="13">
        <v>46290</v>
      </c>
      <c r="B52" s="14">
        <v>399</v>
      </c>
      <c r="C52" s="14">
        <v>22</v>
      </c>
      <c r="D52" s="14">
        <v>55</v>
      </c>
      <c r="E52" s="14">
        <v>0</v>
      </c>
      <c r="F52" s="14">
        <v>250</v>
      </c>
      <c r="G52" s="14">
        <v>5</v>
      </c>
      <c r="H52" s="14">
        <v>134</v>
      </c>
      <c r="I52" s="15">
        <f t="shared" si="0"/>
        <v>860</v>
      </c>
      <c r="J52" s="15">
        <f t="shared" si="1"/>
        <v>580</v>
      </c>
      <c r="K52" s="16" t="s">
        <v>58</v>
      </c>
      <c r="L52" s="16" t="s">
        <v>58</v>
      </c>
      <c r="M52" s="16" t="s">
        <v>51</v>
      </c>
      <c r="N52" s="17" t="s">
        <v>101</v>
      </c>
    </row>
    <row r="53" spans="1:14" ht="44.25" customHeight="1" x14ac:dyDescent="0.25">
      <c r="A53" s="13">
        <v>46291</v>
      </c>
      <c r="B53" s="14">
        <v>402</v>
      </c>
      <c r="C53" s="14">
        <v>23</v>
      </c>
      <c r="D53" s="14">
        <v>72</v>
      </c>
      <c r="E53" s="14">
        <v>12</v>
      </c>
      <c r="F53" s="14">
        <v>0</v>
      </c>
      <c r="G53" s="14">
        <v>0</v>
      </c>
      <c r="H53" s="14">
        <v>143</v>
      </c>
      <c r="I53" s="15">
        <f t="shared" si="0"/>
        <v>652</v>
      </c>
      <c r="J53" s="15">
        <f t="shared" si="1"/>
        <v>788</v>
      </c>
      <c r="K53" s="16" t="s">
        <v>49</v>
      </c>
      <c r="L53" s="16" t="s">
        <v>50</v>
      </c>
      <c r="M53" s="16" t="s">
        <v>51</v>
      </c>
      <c r="N53" s="17" t="s">
        <v>102</v>
      </c>
    </row>
    <row r="54" spans="1:14" ht="38.25" customHeight="1" x14ac:dyDescent="0.25">
      <c r="A54" s="13">
        <v>46292</v>
      </c>
      <c r="B54" s="14">
        <v>410</v>
      </c>
      <c r="C54" s="14">
        <v>24</v>
      </c>
      <c r="D54" s="14">
        <v>77</v>
      </c>
      <c r="E54" s="14">
        <v>33</v>
      </c>
      <c r="F54" s="14">
        <v>0</v>
      </c>
      <c r="G54" s="14">
        <v>0</v>
      </c>
      <c r="H54" s="14">
        <v>132</v>
      </c>
      <c r="I54" s="15">
        <f t="shared" si="0"/>
        <v>676</v>
      </c>
      <c r="J54" s="15">
        <f t="shared" si="1"/>
        <v>764</v>
      </c>
      <c r="K54" s="16" t="s">
        <v>49</v>
      </c>
      <c r="L54" s="16" t="s">
        <v>58</v>
      </c>
      <c r="M54" s="16" t="s">
        <v>61</v>
      </c>
      <c r="N54" s="17" t="s">
        <v>103</v>
      </c>
    </row>
    <row r="55" spans="1:14" ht="52.5" customHeight="1" x14ac:dyDescent="0.25">
      <c r="A55" s="13">
        <v>46293</v>
      </c>
      <c r="B55" s="14">
        <v>408</v>
      </c>
      <c r="C55" s="14">
        <v>23</v>
      </c>
      <c r="D55" s="14">
        <v>80</v>
      </c>
      <c r="E55" s="14">
        <v>20</v>
      </c>
      <c r="F55" s="14">
        <v>0</v>
      </c>
      <c r="G55" s="14">
        <v>0</v>
      </c>
      <c r="H55" s="14">
        <v>340</v>
      </c>
      <c r="I55" s="15">
        <f t="shared" si="0"/>
        <v>871</v>
      </c>
      <c r="J55" s="15">
        <f t="shared" si="1"/>
        <v>569</v>
      </c>
      <c r="K55" s="16" t="s">
        <v>58</v>
      </c>
      <c r="L55" s="16" t="s">
        <v>63</v>
      </c>
      <c r="M55" s="16" t="s">
        <v>51</v>
      </c>
      <c r="N55" s="17" t="s">
        <v>105</v>
      </c>
    </row>
    <row r="56" spans="1:14" ht="41.25" customHeight="1" x14ac:dyDescent="0.25">
      <c r="A56" s="13">
        <v>46294</v>
      </c>
      <c r="B56" s="14">
        <v>410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460</v>
      </c>
      <c r="I56" s="15">
        <f t="shared" si="0"/>
        <v>870</v>
      </c>
      <c r="J56" s="15">
        <f t="shared" si="1"/>
        <v>570</v>
      </c>
      <c r="K56" s="16" t="s">
        <v>49</v>
      </c>
      <c r="L56" s="16" t="s">
        <v>50</v>
      </c>
      <c r="M56" s="16" t="s">
        <v>61</v>
      </c>
      <c r="N56" s="17" t="s">
        <v>106</v>
      </c>
    </row>
    <row r="57" spans="1:14" ht="48" customHeight="1" x14ac:dyDescent="0.25">
      <c r="A57" s="13">
        <v>46295</v>
      </c>
      <c r="B57" s="14">
        <v>422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422</v>
      </c>
      <c r="I57" s="15">
        <f t="shared" si="0"/>
        <v>844</v>
      </c>
      <c r="J57" s="15">
        <f t="shared" si="1"/>
        <v>596</v>
      </c>
      <c r="K57" s="16" t="s">
        <v>49</v>
      </c>
      <c r="L57" s="16" t="s">
        <v>50</v>
      </c>
      <c r="M57" s="16" t="s">
        <v>61</v>
      </c>
      <c r="N57" s="17" t="s">
        <v>107</v>
      </c>
    </row>
    <row r="58" spans="1:14" ht="44.25" customHeight="1" x14ac:dyDescent="0.25">
      <c r="A58" s="13">
        <v>46296</v>
      </c>
      <c r="B58" s="14">
        <v>428</v>
      </c>
      <c r="C58" s="14">
        <v>12</v>
      </c>
      <c r="D58" s="14">
        <v>0</v>
      </c>
      <c r="E58" s="14">
        <v>0</v>
      </c>
      <c r="F58" s="14">
        <v>0</v>
      </c>
      <c r="G58" s="14">
        <v>0</v>
      </c>
      <c r="H58" s="14">
        <v>389</v>
      </c>
      <c r="I58" s="15">
        <f t="shared" si="0"/>
        <v>829</v>
      </c>
      <c r="J58" s="15">
        <f t="shared" si="1"/>
        <v>611</v>
      </c>
      <c r="K58" s="16" t="s">
        <v>49</v>
      </c>
      <c r="L58" s="16" t="s">
        <v>50</v>
      </c>
      <c r="M58" s="16" t="s">
        <v>61</v>
      </c>
      <c r="N58" s="17" t="s">
        <v>108</v>
      </c>
    </row>
    <row r="59" spans="1:14" ht="48.75" customHeight="1" x14ac:dyDescent="0.25">
      <c r="A59" s="13">
        <v>46297</v>
      </c>
      <c r="B59" s="14">
        <v>458</v>
      </c>
      <c r="C59" s="14">
        <v>14</v>
      </c>
      <c r="D59" s="14">
        <v>0</v>
      </c>
      <c r="E59" s="14">
        <v>0</v>
      </c>
      <c r="F59" s="14">
        <v>0</v>
      </c>
      <c r="G59" s="14">
        <v>0</v>
      </c>
      <c r="H59" s="14">
        <v>388</v>
      </c>
      <c r="I59" s="15">
        <f t="shared" si="0"/>
        <v>860</v>
      </c>
      <c r="J59" s="15">
        <f t="shared" si="1"/>
        <v>580</v>
      </c>
      <c r="K59" s="16" t="s">
        <v>49</v>
      </c>
      <c r="L59" s="16" t="s">
        <v>50</v>
      </c>
      <c r="M59" s="16" t="s">
        <v>61</v>
      </c>
      <c r="N59" s="17" t="s">
        <v>109</v>
      </c>
    </row>
    <row r="60" spans="1:14" ht="41.25" customHeight="1" x14ac:dyDescent="0.25">
      <c r="A60" s="13">
        <v>46298</v>
      </c>
      <c r="B60" s="14">
        <v>468</v>
      </c>
      <c r="C60" s="14">
        <v>13</v>
      </c>
      <c r="D60" s="14">
        <v>0</v>
      </c>
      <c r="E60" s="14">
        <v>0</v>
      </c>
      <c r="F60" s="14">
        <v>0</v>
      </c>
      <c r="G60" s="14">
        <v>0</v>
      </c>
      <c r="H60" s="14">
        <v>391</v>
      </c>
      <c r="I60" s="15">
        <f t="shared" si="0"/>
        <v>872</v>
      </c>
      <c r="J60" s="15">
        <f t="shared" si="1"/>
        <v>568</v>
      </c>
      <c r="K60" s="16" t="s">
        <v>49</v>
      </c>
      <c r="L60" s="16" t="s">
        <v>50</v>
      </c>
      <c r="M60" s="16" t="s">
        <v>61</v>
      </c>
      <c r="N60" s="17" t="s">
        <v>110</v>
      </c>
    </row>
    <row r="61" spans="1:14" ht="33" customHeight="1" x14ac:dyDescent="0.25">
      <c r="A61" s="13">
        <v>46299</v>
      </c>
      <c r="B61" s="14">
        <v>489</v>
      </c>
      <c r="C61" s="14">
        <v>12</v>
      </c>
      <c r="D61" s="14">
        <v>0</v>
      </c>
      <c r="E61" s="14">
        <v>0</v>
      </c>
      <c r="F61" s="14">
        <v>0</v>
      </c>
      <c r="G61" s="14">
        <v>0</v>
      </c>
      <c r="H61" s="14">
        <v>385</v>
      </c>
      <c r="I61" s="15">
        <f t="shared" si="0"/>
        <v>886</v>
      </c>
      <c r="J61" s="15">
        <f t="shared" si="1"/>
        <v>554</v>
      </c>
      <c r="K61" s="16" t="s">
        <v>49</v>
      </c>
      <c r="L61" s="16" t="s">
        <v>50</v>
      </c>
      <c r="M61" s="16" t="s">
        <v>61</v>
      </c>
      <c r="N61" s="17" t="s">
        <v>110</v>
      </c>
    </row>
    <row r="62" spans="1:14" ht="35.25" customHeight="1" x14ac:dyDescent="0.25">
      <c r="A62" s="13">
        <v>46300</v>
      </c>
      <c r="B62" s="14">
        <v>388</v>
      </c>
      <c r="C62" s="14">
        <v>14</v>
      </c>
      <c r="D62" s="14">
        <v>33</v>
      </c>
      <c r="E62" s="14">
        <v>21</v>
      </c>
      <c r="F62" s="14">
        <v>250</v>
      </c>
      <c r="G62" s="14">
        <v>4</v>
      </c>
      <c r="H62" s="14">
        <v>181</v>
      </c>
      <c r="I62" s="15">
        <f t="shared" si="0"/>
        <v>887</v>
      </c>
      <c r="J62" s="15">
        <f t="shared" si="1"/>
        <v>553</v>
      </c>
      <c r="K62" s="16" t="s">
        <v>49</v>
      </c>
      <c r="L62" s="16" t="s">
        <v>104</v>
      </c>
      <c r="M62" s="16" t="s">
        <v>61</v>
      </c>
      <c r="N62" s="17" t="s">
        <v>111</v>
      </c>
    </row>
    <row r="63" spans="1:14" ht="54.75" customHeight="1" x14ac:dyDescent="0.25">
      <c r="A63" s="13">
        <v>46301</v>
      </c>
      <c r="B63" s="14">
        <v>381</v>
      </c>
      <c r="C63" s="14">
        <v>11</v>
      </c>
      <c r="D63" s="14">
        <v>32</v>
      </c>
      <c r="E63" s="14">
        <v>21</v>
      </c>
      <c r="F63" s="14">
        <v>350</v>
      </c>
      <c r="G63" s="14">
        <v>7</v>
      </c>
      <c r="H63" s="14">
        <v>134</v>
      </c>
      <c r="I63" s="15">
        <f t="shared" si="0"/>
        <v>929</v>
      </c>
      <c r="J63" s="15">
        <f t="shared" si="1"/>
        <v>511</v>
      </c>
      <c r="K63" s="16" t="s">
        <v>49</v>
      </c>
      <c r="L63" s="16" t="s">
        <v>50</v>
      </c>
      <c r="M63" s="16" t="s">
        <v>61</v>
      </c>
      <c r="N63" s="17" t="s">
        <v>112</v>
      </c>
    </row>
    <row r="64" spans="1:14" ht="38.25" customHeight="1" x14ac:dyDescent="0.25">
      <c r="A64" s="13">
        <v>46302</v>
      </c>
      <c r="B64" s="14">
        <v>382</v>
      </c>
      <c r="C64" s="14">
        <v>12</v>
      </c>
      <c r="D64" s="14">
        <v>36</v>
      </c>
      <c r="E64" s="14">
        <v>23</v>
      </c>
      <c r="F64" s="14">
        <v>300</v>
      </c>
      <c r="G64" s="14">
        <v>6</v>
      </c>
      <c r="H64" s="14">
        <v>143</v>
      </c>
      <c r="I64" s="15">
        <f t="shared" si="0"/>
        <v>896</v>
      </c>
      <c r="J64" s="15">
        <f t="shared" si="1"/>
        <v>544</v>
      </c>
      <c r="K64" s="16" t="s">
        <v>77</v>
      </c>
      <c r="L64" s="16" t="s">
        <v>50</v>
      </c>
      <c r="M64" s="16" t="s">
        <v>61</v>
      </c>
      <c r="N64" s="17" t="s">
        <v>113</v>
      </c>
    </row>
    <row r="65" spans="1:14" ht="57.75" customHeight="1" x14ac:dyDescent="0.25">
      <c r="A65" s="13">
        <v>46303</v>
      </c>
      <c r="B65" s="14">
        <v>381</v>
      </c>
      <c r="C65" s="14">
        <v>14</v>
      </c>
      <c r="D65" s="14">
        <v>40</v>
      </c>
      <c r="E65" s="14">
        <v>20</v>
      </c>
      <c r="F65" s="14">
        <v>200</v>
      </c>
      <c r="G65" s="14">
        <v>2</v>
      </c>
      <c r="H65" s="14">
        <v>231</v>
      </c>
      <c r="I65" s="15">
        <f t="shared" si="0"/>
        <v>886</v>
      </c>
      <c r="J65" s="15">
        <f t="shared" si="1"/>
        <v>554</v>
      </c>
      <c r="K65" s="16" t="s">
        <v>49</v>
      </c>
      <c r="L65" s="16" t="s">
        <v>50</v>
      </c>
      <c r="M65" s="16" t="s">
        <v>51</v>
      </c>
      <c r="N65" s="17" t="s">
        <v>114</v>
      </c>
    </row>
    <row r="66" spans="1:14" ht="34.5" customHeight="1" x14ac:dyDescent="0.25">
      <c r="A66" s="13">
        <v>46304</v>
      </c>
      <c r="B66" s="14">
        <v>392</v>
      </c>
      <c r="C66" s="14">
        <v>18</v>
      </c>
      <c r="D66" s="14">
        <v>35</v>
      </c>
      <c r="E66" s="14">
        <v>25</v>
      </c>
      <c r="F66" s="14">
        <v>0</v>
      </c>
      <c r="G66" s="14">
        <v>0</v>
      </c>
      <c r="H66" s="14">
        <v>341</v>
      </c>
      <c r="I66" s="15">
        <f t="shared" si="0"/>
        <v>811</v>
      </c>
      <c r="J66" s="15">
        <f t="shared" si="1"/>
        <v>629</v>
      </c>
      <c r="K66" s="16" t="s">
        <v>49</v>
      </c>
      <c r="L66" s="16" t="s">
        <v>50</v>
      </c>
      <c r="M66" s="16" t="s">
        <v>51</v>
      </c>
      <c r="N66" s="17" t="s">
        <v>115</v>
      </c>
    </row>
    <row r="67" spans="1:14" ht="60" customHeight="1" x14ac:dyDescent="0.25">
      <c r="A67" s="13">
        <v>46305</v>
      </c>
      <c r="B67" s="14">
        <v>212</v>
      </c>
      <c r="C67" s="14">
        <v>0</v>
      </c>
      <c r="D67" s="14">
        <v>70</v>
      </c>
      <c r="E67" s="14">
        <v>0</v>
      </c>
      <c r="F67" s="14">
        <v>0</v>
      </c>
      <c r="G67" s="14">
        <v>0</v>
      </c>
      <c r="H67" s="14">
        <v>450</v>
      </c>
      <c r="I67" s="15">
        <f t="shared" si="0"/>
        <v>732</v>
      </c>
      <c r="J67" s="15">
        <f t="shared" si="1"/>
        <v>708</v>
      </c>
      <c r="K67" s="16" t="s">
        <v>58</v>
      </c>
      <c r="L67" s="16" t="s">
        <v>58</v>
      </c>
      <c r="M67" s="16" t="s">
        <v>62</v>
      </c>
      <c r="N67" s="17" t="s">
        <v>116</v>
      </c>
    </row>
    <row r="68" spans="1:14" ht="54" customHeight="1" x14ac:dyDescent="0.25">
      <c r="A68" s="13">
        <v>46306</v>
      </c>
      <c r="B68" s="14">
        <v>388</v>
      </c>
      <c r="C68" s="14">
        <v>23</v>
      </c>
      <c r="D68" s="14">
        <v>140</v>
      </c>
      <c r="E68" s="14">
        <v>0</v>
      </c>
      <c r="F68" s="14">
        <v>0</v>
      </c>
      <c r="G68" s="14">
        <v>0</v>
      </c>
      <c r="H68" s="14">
        <v>118</v>
      </c>
      <c r="I68" s="15">
        <f t="shared" si="0"/>
        <v>669</v>
      </c>
      <c r="J68" s="15">
        <f t="shared" si="1"/>
        <v>771</v>
      </c>
      <c r="K68" s="16" t="s">
        <v>49</v>
      </c>
      <c r="L68" s="16" t="s">
        <v>50</v>
      </c>
      <c r="M68" s="16" t="s">
        <v>51</v>
      </c>
      <c r="N68" s="17" t="s">
        <v>117</v>
      </c>
    </row>
    <row r="69" spans="1:14" ht="35.25" customHeight="1" x14ac:dyDescent="0.25">
      <c r="A69" s="13">
        <v>46307</v>
      </c>
      <c r="B69" s="14">
        <v>325</v>
      </c>
      <c r="C69" s="14">
        <v>20</v>
      </c>
      <c r="D69" s="14">
        <v>240</v>
      </c>
      <c r="E69" s="14">
        <v>0</v>
      </c>
      <c r="F69" s="14">
        <v>0</v>
      </c>
      <c r="G69" s="14">
        <v>0</v>
      </c>
      <c r="H69" s="14">
        <v>140</v>
      </c>
      <c r="I69" s="15">
        <f t="shared" si="0"/>
        <v>725</v>
      </c>
      <c r="J69" s="15">
        <f t="shared" si="1"/>
        <v>715</v>
      </c>
      <c r="K69" s="16" t="s">
        <v>49</v>
      </c>
      <c r="L69" s="16" t="s">
        <v>50</v>
      </c>
      <c r="M69" s="16" t="s">
        <v>51</v>
      </c>
      <c r="N69" s="17" t="s">
        <v>118</v>
      </c>
    </row>
    <row r="70" spans="1:14" ht="36.75" customHeight="1" x14ac:dyDescent="0.25">
      <c r="A70" s="13">
        <v>46308</v>
      </c>
      <c r="B70" s="14">
        <v>324</v>
      </c>
      <c r="C70" s="14">
        <v>21</v>
      </c>
      <c r="D70" s="14">
        <v>254</v>
      </c>
      <c r="E70" s="14">
        <v>55</v>
      </c>
      <c r="F70" s="14">
        <v>0</v>
      </c>
      <c r="G70" s="14">
        <v>0</v>
      </c>
      <c r="H70" s="14">
        <v>180</v>
      </c>
      <c r="I70" s="15">
        <f t="shared" ref="I70:I133" si="6">IF(SUM(B70:F70,H70)=0,"",SUM(B70:F70,H70))</f>
        <v>834</v>
      </c>
      <c r="J70" s="15">
        <f t="shared" ref="J70:J133" si="7">IF(I70="","",1440-I70)</f>
        <v>606</v>
      </c>
      <c r="K70" s="16" t="s">
        <v>49</v>
      </c>
      <c r="L70" s="16" t="s">
        <v>50</v>
      </c>
      <c r="M70" s="16" t="s">
        <v>51</v>
      </c>
      <c r="N70" s="17" t="s">
        <v>119</v>
      </c>
    </row>
    <row r="71" spans="1:14" ht="37.5" customHeight="1" x14ac:dyDescent="0.25">
      <c r="A71" s="13">
        <v>46309</v>
      </c>
      <c r="B71" s="14">
        <v>320</v>
      </c>
      <c r="C71" s="14">
        <v>22</v>
      </c>
      <c r="D71" s="14">
        <v>244</v>
      </c>
      <c r="E71" s="14">
        <v>0</v>
      </c>
      <c r="F71" s="14">
        <v>0</v>
      </c>
      <c r="G71" s="14">
        <v>0</v>
      </c>
      <c r="H71" s="14">
        <v>175</v>
      </c>
      <c r="I71" s="15">
        <f t="shared" si="6"/>
        <v>761</v>
      </c>
      <c r="J71" s="15">
        <f t="shared" si="7"/>
        <v>679</v>
      </c>
      <c r="K71" s="16" t="s">
        <v>49</v>
      </c>
      <c r="L71" s="16" t="s">
        <v>50</v>
      </c>
      <c r="M71" s="16" t="s">
        <v>51</v>
      </c>
      <c r="N71" s="17" t="s">
        <v>120</v>
      </c>
    </row>
    <row r="72" spans="1:14" ht="35.25" customHeight="1" x14ac:dyDescent="0.25">
      <c r="A72" s="13">
        <v>46310</v>
      </c>
      <c r="B72" s="14">
        <v>422</v>
      </c>
      <c r="C72" s="14">
        <v>23</v>
      </c>
      <c r="D72" s="14">
        <v>330</v>
      </c>
      <c r="E72" s="14">
        <v>0</v>
      </c>
      <c r="F72" s="14">
        <v>0</v>
      </c>
      <c r="G72" s="14">
        <v>0</v>
      </c>
      <c r="H72" s="14">
        <v>125</v>
      </c>
      <c r="I72" s="15">
        <f t="shared" si="6"/>
        <v>900</v>
      </c>
      <c r="J72" s="15">
        <f t="shared" si="7"/>
        <v>540</v>
      </c>
      <c r="K72" s="16" t="s">
        <v>49</v>
      </c>
      <c r="L72" s="16" t="s">
        <v>50</v>
      </c>
      <c r="M72" s="16" t="s">
        <v>51</v>
      </c>
      <c r="N72" s="17" t="s">
        <v>121</v>
      </c>
    </row>
    <row r="73" spans="1:14" ht="42.75" customHeight="1" x14ac:dyDescent="0.25">
      <c r="A73" s="13">
        <v>46311</v>
      </c>
      <c r="B73" s="14">
        <v>322</v>
      </c>
      <c r="C73" s="14">
        <v>25</v>
      </c>
      <c r="D73" s="14">
        <v>245</v>
      </c>
      <c r="E73" s="14">
        <v>0</v>
      </c>
      <c r="F73" s="14">
        <v>0</v>
      </c>
      <c r="G73" s="14">
        <v>0</v>
      </c>
      <c r="H73" s="14">
        <v>128</v>
      </c>
      <c r="I73" s="15">
        <f t="shared" si="6"/>
        <v>720</v>
      </c>
      <c r="J73" s="15">
        <f t="shared" si="7"/>
        <v>720</v>
      </c>
      <c r="K73" s="16" t="s">
        <v>49</v>
      </c>
      <c r="L73" s="16" t="s">
        <v>50</v>
      </c>
      <c r="M73" s="16" t="s">
        <v>51</v>
      </c>
      <c r="N73" s="17" t="s">
        <v>122</v>
      </c>
    </row>
    <row r="74" spans="1:14" ht="41.25" customHeight="1" x14ac:dyDescent="0.25">
      <c r="A74" s="13">
        <v>46312</v>
      </c>
      <c r="B74" s="14">
        <v>320</v>
      </c>
      <c r="C74" s="14">
        <v>30</v>
      </c>
      <c r="D74" s="14">
        <v>108</v>
      </c>
      <c r="E74" s="14">
        <v>0</v>
      </c>
      <c r="F74" s="14">
        <v>0</v>
      </c>
      <c r="G74" s="14">
        <v>0</v>
      </c>
      <c r="H74" s="14">
        <v>120</v>
      </c>
      <c r="I74" s="15">
        <f t="shared" si="6"/>
        <v>578</v>
      </c>
      <c r="J74" s="15">
        <f t="shared" si="7"/>
        <v>862</v>
      </c>
      <c r="K74" s="16" t="s">
        <v>49</v>
      </c>
      <c r="L74" s="16" t="s">
        <v>50</v>
      </c>
      <c r="M74" s="16" t="s">
        <v>61</v>
      </c>
      <c r="N74" s="17" t="s">
        <v>123</v>
      </c>
    </row>
    <row r="75" spans="1:14" ht="47.25" customHeight="1" x14ac:dyDescent="0.25">
      <c r="A75" s="13">
        <v>46313</v>
      </c>
      <c r="B75" s="14">
        <v>428</v>
      </c>
      <c r="C75" s="14">
        <v>30</v>
      </c>
      <c r="D75" s="14">
        <v>0</v>
      </c>
      <c r="E75" s="14">
        <v>0</v>
      </c>
      <c r="F75" s="14">
        <v>0</v>
      </c>
      <c r="G75" s="14">
        <v>0</v>
      </c>
      <c r="H75" s="14">
        <v>284</v>
      </c>
      <c r="I75" s="15">
        <f t="shared" si="6"/>
        <v>742</v>
      </c>
      <c r="J75" s="15">
        <f t="shared" si="7"/>
        <v>698</v>
      </c>
      <c r="K75" s="16" t="s">
        <v>49</v>
      </c>
      <c r="L75" s="16" t="s">
        <v>50</v>
      </c>
      <c r="M75" s="16" t="s">
        <v>61</v>
      </c>
      <c r="N75" s="17" t="s">
        <v>124</v>
      </c>
    </row>
    <row r="76" spans="1:14" ht="41.25" customHeight="1" x14ac:dyDescent="0.25">
      <c r="A76" s="13">
        <v>46314</v>
      </c>
      <c r="B76" s="14">
        <v>402</v>
      </c>
      <c r="C76" s="14">
        <v>32</v>
      </c>
      <c r="D76" s="14">
        <v>62</v>
      </c>
      <c r="E76" s="14">
        <v>20</v>
      </c>
      <c r="F76" s="14">
        <v>250</v>
      </c>
      <c r="G76" s="14">
        <v>5</v>
      </c>
      <c r="H76" s="14">
        <v>120</v>
      </c>
      <c r="I76" s="15">
        <f t="shared" si="6"/>
        <v>886</v>
      </c>
      <c r="J76" s="15">
        <f t="shared" si="7"/>
        <v>554</v>
      </c>
      <c r="K76" s="16" t="s">
        <v>49</v>
      </c>
      <c r="L76" s="16" t="s">
        <v>50</v>
      </c>
      <c r="M76" s="16" t="s">
        <v>51</v>
      </c>
      <c r="N76" s="17" t="s">
        <v>125</v>
      </c>
    </row>
    <row r="77" spans="1:14" ht="48" customHeight="1" x14ac:dyDescent="0.25">
      <c r="A77" s="13">
        <v>46315</v>
      </c>
      <c r="B77" s="14">
        <v>420</v>
      </c>
      <c r="C77" s="14">
        <v>32</v>
      </c>
      <c r="D77" s="14">
        <v>56</v>
      </c>
      <c r="E77" s="14">
        <v>43</v>
      </c>
      <c r="F77" s="14">
        <v>0</v>
      </c>
      <c r="G77" s="14">
        <v>0</v>
      </c>
      <c r="H77" s="14">
        <v>184</v>
      </c>
      <c r="I77" s="15">
        <f t="shared" si="6"/>
        <v>735</v>
      </c>
      <c r="J77" s="15">
        <f t="shared" si="7"/>
        <v>705</v>
      </c>
      <c r="K77" s="16" t="s">
        <v>49</v>
      </c>
      <c r="L77" s="16" t="s">
        <v>50</v>
      </c>
      <c r="M77" s="16" t="s">
        <v>61</v>
      </c>
      <c r="N77" s="17" t="s">
        <v>126</v>
      </c>
    </row>
    <row r="78" spans="1:14" ht="45" customHeight="1" x14ac:dyDescent="0.25">
      <c r="A78" s="13">
        <v>46316</v>
      </c>
      <c r="B78" s="14">
        <v>402</v>
      </c>
      <c r="C78" s="14">
        <v>28</v>
      </c>
      <c r="D78" s="14">
        <v>62</v>
      </c>
      <c r="E78" s="14">
        <v>22</v>
      </c>
      <c r="F78" s="14">
        <v>300</v>
      </c>
      <c r="G78" s="14">
        <v>6</v>
      </c>
      <c r="H78" s="14">
        <v>120</v>
      </c>
      <c r="I78" s="15">
        <f t="shared" si="6"/>
        <v>934</v>
      </c>
      <c r="J78" s="15">
        <f t="shared" si="7"/>
        <v>506</v>
      </c>
      <c r="K78" s="16" t="s">
        <v>49</v>
      </c>
      <c r="L78" s="16" t="s">
        <v>50</v>
      </c>
      <c r="M78" s="16" t="s">
        <v>51</v>
      </c>
      <c r="N78" s="17" t="s">
        <v>125</v>
      </c>
    </row>
    <row r="79" spans="1:14" ht="43.5" customHeight="1" x14ac:dyDescent="0.25">
      <c r="A79" s="13">
        <v>46317</v>
      </c>
      <c r="B79" s="14">
        <v>405</v>
      </c>
      <c r="C79" s="14">
        <v>25</v>
      </c>
      <c r="D79" s="14">
        <v>60</v>
      </c>
      <c r="E79" s="14">
        <v>15</v>
      </c>
      <c r="F79" s="14">
        <v>200</v>
      </c>
      <c r="G79" s="14">
        <v>4</v>
      </c>
      <c r="H79" s="14">
        <v>110</v>
      </c>
      <c r="I79" s="15">
        <f t="shared" si="6"/>
        <v>815</v>
      </c>
      <c r="J79" s="15">
        <f t="shared" si="7"/>
        <v>625</v>
      </c>
      <c r="K79" s="16" t="s">
        <v>49</v>
      </c>
      <c r="L79" s="16" t="s">
        <v>50</v>
      </c>
      <c r="M79" s="16" t="s">
        <v>51</v>
      </c>
      <c r="N79" s="17" t="s">
        <v>127</v>
      </c>
    </row>
    <row r="80" spans="1:14" ht="39.75" customHeight="1" x14ac:dyDescent="0.25">
      <c r="A80" s="13">
        <v>46318</v>
      </c>
      <c r="B80" s="14">
        <v>410</v>
      </c>
      <c r="C80" s="14">
        <v>30</v>
      </c>
      <c r="D80" s="14">
        <v>90</v>
      </c>
      <c r="E80" s="14">
        <v>25</v>
      </c>
      <c r="F80" s="14">
        <v>250</v>
      </c>
      <c r="G80" s="14">
        <v>5</v>
      </c>
      <c r="H80" s="14">
        <v>108</v>
      </c>
      <c r="I80" s="15">
        <f t="shared" si="6"/>
        <v>913</v>
      </c>
      <c r="J80" s="15">
        <f t="shared" si="7"/>
        <v>527</v>
      </c>
      <c r="K80" s="16" t="s">
        <v>49</v>
      </c>
      <c r="L80" s="16" t="s">
        <v>50</v>
      </c>
      <c r="M80" s="16" t="s">
        <v>51</v>
      </c>
      <c r="N80" s="17" t="s">
        <v>128</v>
      </c>
    </row>
    <row r="81" spans="1:14" ht="44.25" customHeight="1" x14ac:dyDescent="0.25">
      <c r="A81" s="13">
        <v>46319</v>
      </c>
      <c r="B81" s="14">
        <v>520</v>
      </c>
      <c r="C81" s="14">
        <v>35</v>
      </c>
      <c r="D81" s="14">
        <v>120</v>
      </c>
      <c r="E81" s="14">
        <v>15</v>
      </c>
      <c r="F81" s="14">
        <v>0</v>
      </c>
      <c r="G81" s="14">
        <v>0</v>
      </c>
      <c r="H81" s="14">
        <v>110</v>
      </c>
      <c r="I81" s="15">
        <f t="shared" si="6"/>
        <v>800</v>
      </c>
      <c r="J81" s="15">
        <f t="shared" si="7"/>
        <v>640</v>
      </c>
      <c r="K81" s="16" t="s">
        <v>49</v>
      </c>
      <c r="L81" s="16" t="s">
        <v>50</v>
      </c>
      <c r="M81" s="16" t="s">
        <v>51</v>
      </c>
      <c r="N81" s="17" t="s">
        <v>129</v>
      </c>
    </row>
    <row r="82" spans="1:14" ht="35.25" customHeight="1" x14ac:dyDescent="0.25">
      <c r="A82" s="13">
        <v>46320</v>
      </c>
      <c r="B82" s="14">
        <v>530</v>
      </c>
      <c r="C82" s="14">
        <v>30</v>
      </c>
      <c r="D82" s="14">
        <v>130</v>
      </c>
      <c r="E82" s="14">
        <v>60</v>
      </c>
      <c r="F82" s="14">
        <v>0</v>
      </c>
      <c r="G82" s="14">
        <v>0</v>
      </c>
      <c r="H82" s="14">
        <v>105</v>
      </c>
      <c r="I82" s="15">
        <f t="shared" si="6"/>
        <v>855</v>
      </c>
      <c r="J82" s="15">
        <f t="shared" si="7"/>
        <v>585</v>
      </c>
      <c r="K82" s="16" t="s">
        <v>49</v>
      </c>
      <c r="L82" s="16" t="s">
        <v>58</v>
      </c>
      <c r="M82" s="16" t="s">
        <v>51</v>
      </c>
      <c r="N82" s="17" t="s">
        <v>130</v>
      </c>
    </row>
    <row r="83" spans="1:14" ht="45" customHeight="1" x14ac:dyDescent="0.25">
      <c r="A83" s="13">
        <v>46321</v>
      </c>
      <c r="B83" s="14">
        <v>520</v>
      </c>
      <c r="C83" s="14">
        <v>30</v>
      </c>
      <c r="D83" s="14">
        <v>110</v>
      </c>
      <c r="E83" s="14">
        <v>50</v>
      </c>
      <c r="F83" s="14">
        <v>0</v>
      </c>
      <c r="G83" s="14">
        <v>0</v>
      </c>
      <c r="H83" s="14">
        <v>110</v>
      </c>
      <c r="I83" s="15">
        <f t="shared" si="6"/>
        <v>820</v>
      </c>
      <c r="J83" s="15">
        <f t="shared" si="7"/>
        <v>620</v>
      </c>
      <c r="K83" s="16" t="s">
        <v>77</v>
      </c>
      <c r="L83" s="16" t="s">
        <v>50</v>
      </c>
      <c r="M83" s="16" t="s">
        <v>61</v>
      </c>
      <c r="N83" s="17" t="s">
        <v>131</v>
      </c>
    </row>
    <row r="84" spans="1:14" ht="36.75" customHeight="1" x14ac:dyDescent="0.25">
      <c r="A84" s="13">
        <v>46322</v>
      </c>
      <c r="B84" s="14">
        <v>403</v>
      </c>
      <c r="C84" s="14">
        <v>30</v>
      </c>
      <c r="D84" s="14">
        <v>60</v>
      </c>
      <c r="E84" s="14">
        <v>20</v>
      </c>
      <c r="F84" s="14">
        <v>350</v>
      </c>
      <c r="G84" s="14">
        <v>7</v>
      </c>
      <c r="H84" s="14">
        <v>108</v>
      </c>
      <c r="I84" s="15">
        <f t="shared" si="6"/>
        <v>971</v>
      </c>
      <c r="J84" s="15">
        <f t="shared" si="7"/>
        <v>469</v>
      </c>
      <c r="K84" s="16" t="s">
        <v>49</v>
      </c>
      <c r="L84" s="16" t="s">
        <v>50</v>
      </c>
      <c r="M84" s="16" t="s">
        <v>51</v>
      </c>
      <c r="N84" s="17" t="s">
        <v>125</v>
      </c>
    </row>
    <row r="85" spans="1:14" ht="39" customHeight="1" x14ac:dyDescent="0.25">
      <c r="A85" s="13">
        <v>46323</v>
      </c>
      <c r="B85" s="14">
        <v>402</v>
      </c>
      <c r="C85" s="14">
        <v>30</v>
      </c>
      <c r="D85" s="14">
        <v>50</v>
      </c>
      <c r="E85" s="14">
        <v>15</v>
      </c>
      <c r="F85" s="14">
        <v>300</v>
      </c>
      <c r="G85" s="14">
        <v>5</v>
      </c>
      <c r="H85" s="14">
        <v>110</v>
      </c>
      <c r="I85" s="15">
        <f t="shared" si="6"/>
        <v>907</v>
      </c>
      <c r="J85" s="15">
        <f t="shared" si="7"/>
        <v>533</v>
      </c>
      <c r="K85" s="16" t="s">
        <v>49</v>
      </c>
      <c r="L85" s="16" t="s">
        <v>50</v>
      </c>
      <c r="M85" s="16" t="s">
        <v>51</v>
      </c>
      <c r="N85" s="17" t="s">
        <v>132</v>
      </c>
    </row>
    <row r="86" spans="1:14" ht="33.75" customHeight="1" x14ac:dyDescent="0.25">
      <c r="A86" s="13">
        <v>46324</v>
      </c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ht="47.25" customHeight="1" x14ac:dyDescent="0.25">
      <c r="A87" s="13">
        <v>46325</v>
      </c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ht="41.25" customHeight="1" x14ac:dyDescent="0.25">
      <c r="A88" s="13">
        <v>46316</v>
      </c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AnubhaV KashyaP</cp:lastModifiedBy>
  <cp:revision>0</cp:revision>
  <dcterms:created xsi:type="dcterms:W3CDTF">2026-07-24T11:49:30Z</dcterms:created>
  <dcterms:modified xsi:type="dcterms:W3CDTF">2026-10-27T14:52:31Z</dcterms:modified>
  <dc:language>en-US</dc:language>
</cp:coreProperties>
</file>